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0_);\(#,##0.00\);\-"/>
    <numFmt numFmtId="165" formatCode="#,##0.00_);(#,##0.00);&quot;-&quot;"/>
  </numFmts>
  <fonts count="6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color rgb="FF0000FF"/>
      <sz val="11"/>
    </font>
    <font>
      <color rgb="000000FF"/>
    </font>
  </fonts>
  <fills count="4">
    <fill>
      <patternFill/>
    </fill>
    <fill>
      <patternFill patternType="gray125"/>
    </fill>
    <fill>
      <patternFill patternType="solid">
        <fgColor theme="9" tint="0.7998"/>
        <bgColor rgb="FFCCFFFF"/>
      </patternFill>
    </fill>
    <fill>
      <patternFill patternType="solid">
        <fgColor theme="9" tint="0.3998"/>
        <bgColor rgb="FFC0C0C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medium">
        <color rgb="00000000"/>
      </bottom>
    </border>
    <border>
      <left style="thin"/>
      <right style="thin"/>
      <top style="thin"/>
      <bottom style="double">
        <color rgb="0000000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164" fontId="4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164" fontId="4" fillId="0" borderId="2" applyAlignment="1" pivotButton="0" quotePrefix="0" xfId="0">
      <alignment horizontal="general" vertical="bottom"/>
    </xf>
    <xf numFmtId="164" fontId="0" fillId="0" borderId="2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4" fontId="0" fillId="2" borderId="1" applyAlignment="1" pivotButton="0" quotePrefix="0" xfId="0">
      <alignment horizontal="general" vertical="bottom"/>
    </xf>
    <xf numFmtId="0" fontId="0" fillId="2" borderId="3" applyAlignment="1" pivotButton="0" quotePrefix="0" xfId="0">
      <alignment horizontal="general" vertical="bottom"/>
    </xf>
    <xf numFmtId="164" fontId="0" fillId="2" borderId="3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4" fontId="0" fillId="3" borderId="1" applyAlignment="1" pivotButton="0" quotePrefix="0" xfId="0">
      <alignment horizontal="general" vertical="bottom"/>
    </xf>
    <xf numFmtId="0" fontId="0" fillId="3" borderId="3" applyAlignment="1" pivotButton="0" quotePrefix="0" xfId="0">
      <alignment horizontal="general" vertical="bottom"/>
    </xf>
    <xf numFmtId="164" fontId="0" fillId="3" borderId="3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general" vertical="bottom"/>
    </xf>
    <xf numFmtId="165" fontId="4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165" fontId="0" fillId="0" borderId="1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165" fontId="4" fillId="0" borderId="4" applyAlignment="1" pivotButton="0" quotePrefix="0" xfId="0">
      <alignment horizontal="general" vertical="bottom"/>
    </xf>
    <xf numFmtId="165" fontId="5" fillId="0" borderId="4" applyAlignment="1" pivotButton="0" quotePrefix="0" xfId="0">
      <alignment horizontal="general" vertical="bottom"/>
    </xf>
    <xf numFmtId="165" fontId="0" fillId="0" borderId="4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165" fontId="0" fillId="2" borderId="1" applyAlignment="1" pivotButton="0" quotePrefix="0" xfId="0">
      <alignment horizontal="general" vertical="bottom"/>
    </xf>
    <xf numFmtId="0" fontId="0" fillId="2" borderId="5" applyAlignment="1" pivotButton="0" quotePrefix="0" xfId="0">
      <alignment horizontal="general" vertical="bottom"/>
    </xf>
    <xf numFmtId="165" fontId="0" fillId="2" borderId="5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165" fontId="0" fillId="3" borderId="1" applyAlignment="1" pivotButton="0" quotePrefix="0" xfId="0">
      <alignment horizontal="general" vertical="bottom"/>
    </xf>
    <xf numFmtId="0" fontId="0" fillId="3" borderId="5" applyAlignment="1" pivotButton="0" quotePrefix="0" xfId="0">
      <alignment horizontal="general" vertical="bottom"/>
    </xf>
    <xf numFmtId="165" fontId="0" fillId="3" borderId="5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N8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C7" activeCellId="0" sqref="C7"/>
    </sheetView>
  </sheetViews>
  <sheetFormatPr baseColWidth="8" defaultColWidth="8.859375" defaultRowHeight="15" customHeight="1" zeroHeight="0" outlineLevelRow="0"/>
  <cols>
    <col width="16.72" customWidth="1" style="16" min="1" max="1"/>
    <col width="14.72" customWidth="1" style="16" min="3" max="12"/>
    <col width="10.43" customWidth="1" style="16" min="13" max="13"/>
  </cols>
  <sheetData>
    <row r="1" ht="15" customHeight="1" s="17">
      <c r="C1" s="16" t="inlineStr">
        <is>
          <t>CHALLMC</t>
        </is>
      </c>
      <c r="D1" s="16" t="inlineStr">
        <is>
          <t>CHALLPG</t>
        </is>
      </c>
      <c r="E1" s="16" t="inlineStr">
        <is>
          <t>BARWOOD</t>
        </is>
      </c>
      <c r="F1" s="16" t="inlineStr">
        <is>
          <t>TRANSITGRP</t>
        </is>
      </c>
      <c r="G1" s="16" t="inlineStr">
        <is>
          <t>REG-CAB</t>
        </is>
      </c>
      <c r="H1" s="16" t="inlineStr">
        <is>
          <t>REG-FLEET</t>
        </is>
      </c>
      <c r="I1" s="16" t="inlineStr">
        <is>
          <t>REG-LEASE</t>
        </is>
      </c>
      <c r="J1" s="16" t="inlineStr">
        <is>
          <t>ITCURVES</t>
        </is>
      </c>
      <c r="K1" s="16" t="inlineStr">
        <is>
          <t>DISCOVERY</t>
        </is>
      </c>
      <c r="L1" s="16" t="inlineStr">
        <is>
          <t>CHALL TOTAL</t>
        </is>
      </c>
      <c r="M1" s="16" t="inlineStr">
        <is>
          <t>TAXI TOTAL</t>
        </is>
      </c>
      <c r="N1" s="16" t="inlineStr">
        <is>
          <t>TOTAL ALL</t>
        </is>
      </c>
    </row>
    <row r="2" ht="15" customHeight="1" s="17">
      <c r="A2" s="18" t="inlineStr">
        <is>
          <t xml:space="preserve"> Revenue </t>
        </is>
      </c>
      <c r="B2" s="18" t="inlineStr">
        <is>
          <t>January</t>
        </is>
      </c>
      <c r="C2" s="20" t="n">
        <v>1728293.93</v>
      </c>
      <c r="D2" s="20" t="n">
        <v>1540902.4</v>
      </c>
      <c r="E2" s="20" t="n">
        <v>819284.55</v>
      </c>
      <c r="F2" s="20" t="n">
        <v>389340.08</v>
      </c>
      <c r="G2" s="20" t="n">
        <v>153112.49</v>
      </c>
      <c r="H2" s="20" t="n">
        <v>110000</v>
      </c>
      <c r="I2" s="20" t="n">
        <v>403735</v>
      </c>
      <c r="J2" s="20" t="n">
        <v>208200</v>
      </c>
      <c r="K2" s="18" t="n"/>
      <c r="L2" s="21">
        <f>C2+D2</f>
        <v/>
      </c>
      <c r="M2" s="21">
        <f>SUM(E2:I2)</f>
        <v/>
      </c>
      <c r="N2" s="21">
        <f>SUM(C2:K2)</f>
        <v/>
      </c>
    </row>
    <row r="3" ht="15" customHeight="1" s="17">
      <c r="A3" s="18" t="inlineStr">
        <is>
          <t xml:space="preserve"> Payroll </t>
        </is>
      </c>
      <c r="B3" s="18" t="inlineStr">
        <is>
          <t>January</t>
        </is>
      </c>
      <c r="C3" s="20" t="n">
        <v>-1596475.51</v>
      </c>
      <c r="D3" s="20" t="n">
        <v>-1201535.71</v>
      </c>
      <c r="E3" s="20" t="n">
        <v>-289398.07</v>
      </c>
      <c r="F3" s="20" t="n">
        <v>-471.07</v>
      </c>
      <c r="G3" s="20" t="n">
        <v>0</v>
      </c>
      <c r="H3" s="20" t="n">
        <v>0</v>
      </c>
      <c r="I3" s="20" t="n">
        <v>0</v>
      </c>
      <c r="J3" s="20" t="n">
        <v>-50276.35</v>
      </c>
      <c r="K3" s="18" t="n"/>
      <c r="L3" s="21">
        <f>C3+D3</f>
        <v/>
      </c>
      <c r="M3" s="21">
        <f>SUM(E3:I3)</f>
        <v/>
      </c>
      <c r="N3" s="21">
        <f>SUM(C3:K3)</f>
        <v/>
      </c>
    </row>
    <row r="4" ht="15" customHeight="1" s="17">
      <c r="A4" s="18" t="inlineStr">
        <is>
          <t xml:space="preserve"> Other Exp</t>
        </is>
      </c>
      <c r="B4" s="18" t="inlineStr">
        <is>
          <t>January</t>
        </is>
      </c>
      <c r="C4" s="20" t="n">
        <v>-312157.58</v>
      </c>
      <c r="D4" s="20" t="n">
        <v>-96746.44</v>
      </c>
      <c r="E4" s="20" t="n">
        <v>-103146.59</v>
      </c>
      <c r="F4" s="20" t="n">
        <v>-11811.81</v>
      </c>
      <c r="G4" s="20" t="n">
        <v>-131618.62</v>
      </c>
      <c r="H4" s="20" t="n">
        <v>-41808.76</v>
      </c>
      <c r="I4" s="20" t="n">
        <v>-1894.6</v>
      </c>
      <c r="J4" s="20" t="n">
        <v>-34428.54</v>
      </c>
      <c r="K4" s="18" t="n"/>
      <c r="L4" s="21">
        <f>C4+D4</f>
        <v/>
      </c>
      <c r="M4" s="21">
        <f>SUM(E4:I4)</f>
        <v/>
      </c>
      <c r="N4" s="21">
        <f>SUM(C4:K4)</f>
        <v/>
      </c>
    </row>
    <row r="5" ht="15" customHeight="1" s="17">
      <c r="A5" s="18" t="inlineStr">
        <is>
          <t xml:space="preserve"> Op Profits </t>
        </is>
      </c>
      <c r="B5" s="18" t="inlineStr">
        <is>
          <t>January</t>
        </is>
      </c>
      <c r="C5" s="20" t="n">
        <v>-267938.18</v>
      </c>
      <c r="D5" s="20" t="n">
        <v>242720.25</v>
      </c>
      <c r="E5" s="20" t="n">
        <v>26739.89</v>
      </c>
      <c r="F5" s="20" t="n">
        <v>47057.2</v>
      </c>
      <c r="G5" s="20" t="n">
        <v>12705.42</v>
      </c>
      <c r="H5" s="20" t="n">
        <v>-65307.01</v>
      </c>
      <c r="I5" s="20" t="n">
        <v>72599.49000000001</v>
      </c>
      <c r="J5" s="20" t="n">
        <v>112699.88</v>
      </c>
      <c r="K5" s="18" t="n"/>
      <c r="L5" s="21">
        <f>C5+D5</f>
        <v/>
      </c>
      <c r="M5" s="21">
        <f>SUM(E5:I5)</f>
        <v/>
      </c>
      <c r="N5" s="21">
        <f>SUM(C5:K5)</f>
        <v/>
      </c>
    </row>
    <row r="6" ht="15" customHeight="1" s="17">
      <c r="A6" s="22" t="inlineStr">
        <is>
          <t xml:space="preserve"> Profit </t>
        </is>
      </c>
      <c r="B6" s="22" t="inlineStr">
        <is>
          <t>January</t>
        </is>
      </c>
      <c r="C6" s="24" t="n">
        <v>-267938.18</v>
      </c>
      <c r="D6" s="24" t="n">
        <v>240306.25</v>
      </c>
      <c r="E6" s="24" t="n">
        <v>6739.89</v>
      </c>
      <c r="F6" s="24" t="n">
        <v>47057.2</v>
      </c>
      <c r="G6" s="24" t="n">
        <v>12705.42</v>
      </c>
      <c r="H6" s="24" t="n">
        <v>-65307.01</v>
      </c>
      <c r="I6" s="24" t="n">
        <v>72599.49000000001</v>
      </c>
      <c r="J6" s="24" t="n">
        <v>112699.88</v>
      </c>
      <c r="K6" s="22" t="n"/>
      <c r="L6" s="25">
        <f>C6+D6</f>
        <v/>
      </c>
      <c r="M6" s="25">
        <f>SUM(E6:I6)</f>
        <v/>
      </c>
      <c r="N6" s="25">
        <f>SUM(C6:K6)</f>
        <v/>
      </c>
    </row>
    <row r="7" ht="15" customHeight="1" s="17">
      <c r="A7" s="18" t="inlineStr">
        <is>
          <t xml:space="preserve"> Revenue </t>
        </is>
      </c>
      <c r="B7" s="18" t="inlineStr">
        <is>
          <t>Februray</t>
        </is>
      </c>
      <c r="C7" s="20" t="n">
        <v>0</v>
      </c>
      <c r="D7" s="20" t="n">
        <v>0</v>
      </c>
      <c r="E7" s="20" t="n">
        <v>200456.92</v>
      </c>
      <c r="F7" s="20" t="n">
        <v>0</v>
      </c>
      <c r="G7" s="20" t="n">
        <v>0</v>
      </c>
      <c r="H7" s="20" t="n">
        <v>0</v>
      </c>
      <c r="I7" s="20" t="n">
        <v>0</v>
      </c>
      <c r="J7" s="20" t="n">
        <v>12408.18</v>
      </c>
      <c r="K7" s="20" t="n">
        <v>0</v>
      </c>
      <c r="L7" s="21">
        <f>C7+D7</f>
        <v/>
      </c>
      <c r="M7" s="21">
        <f>SUM(E7:I7)</f>
        <v/>
      </c>
      <c r="N7" s="21">
        <f>SUM(C7:K7)</f>
        <v/>
      </c>
    </row>
    <row r="8" ht="15" customHeight="1" s="17">
      <c r="A8" s="18" t="inlineStr">
        <is>
          <t xml:space="preserve"> Payroll </t>
        </is>
      </c>
      <c r="B8" s="18" t="inlineStr">
        <is>
          <t>Februray</t>
        </is>
      </c>
      <c r="C8" s="20" t="n">
        <v>0</v>
      </c>
      <c r="D8" s="20" t="n">
        <v>0</v>
      </c>
      <c r="E8" s="20" t="n">
        <v>-8185.92</v>
      </c>
      <c r="F8" s="20" t="n">
        <v>0</v>
      </c>
      <c r="G8" s="20" t="n">
        <v>0</v>
      </c>
      <c r="H8" s="20" t="n">
        <v>0</v>
      </c>
      <c r="I8" s="20" t="n">
        <v>0</v>
      </c>
      <c r="J8" s="20" t="n">
        <v>-1425.05</v>
      </c>
      <c r="K8" s="20" t="n">
        <v>0</v>
      </c>
      <c r="L8" s="21">
        <f>C8+D8</f>
        <v/>
      </c>
      <c r="M8" s="21">
        <f>SUM(E8:I8)</f>
        <v/>
      </c>
      <c r="N8" s="21">
        <f>SUM(C8:K8)</f>
        <v/>
      </c>
    </row>
    <row r="9" ht="15" customHeight="1" s="17">
      <c r="A9" s="18" t="inlineStr">
        <is>
          <t xml:space="preserve"> Other Exp</t>
        </is>
      </c>
      <c r="B9" s="18" t="inlineStr">
        <is>
          <t>Februray</t>
        </is>
      </c>
      <c r="C9" s="20" t="n">
        <v>-117764.65</v>
      </c>
      <c r="D9" s="20" t="n">
        <v>-175096.25</v>
      </c>
      <c r="E9" s="20" t="n">
        <v>0</v>
      </c>
      <c r="F9" s="20" t="n">
        <v>-1800</v>
      </c>
      <c r="G9" s="20" t="n">
        <v>-33859.76</v>
      </c>
      <c r="H9" s="20" t="n">
        <v>0</v>
      </c>
      <c r="I9" s="20" t="n">
        <v>0</v>
      </c>
      <c r="J9" s="20" t="n">
        <v>-10668.34</v>
      </c>
      <c r="K9" s="20" t="n">
        <v>-764.9299999999999</v>
      </c>
      <c r="L9" s="21">
        <f>C9+D9</f>
        <v/>
      </c>
      <c r="M9" s="21">
        <f>SUM(E9:I9)</f>
        <v/>
      </c>
      <c r="N9" s="21">
        <f>SUM(C9:K9)</f>
        <v/>
      </c>
    </row>
    <row r="10" ht="15" customHeight="1" s="17">
      <c r="A10" s="18" t="inlineStr">
        <is>
          <t xml:space="preserve"> Op Profits </t>
        </is>
      </c>
      <c r="B10" s="18" t="inlineStr">
        <is>
          <t>Februray</t>
        </is>
      </c>
      <c r="C10" s="20" t="n">
        <v>-158601.03</v>
      </c>
      <c r="D10" s="20" t="n">
        <v>-178282.4</v>
      </c>
      <c r="E10" s="20" t="n">
        <v>192271</v>
      </c>
      <c r="F10" s="20" t="n">
        <v>-1800</v>
      </c>
      <c r="G10" s="20" t="n">
        <v>-43103.44</v>
      </c>
      <c r="H10" s="20" t="n">
        <v>-4816.5</v>
      </c>
      <c r="I10" s="20" t="n">
        <v>-261125.88</v>
      </c>
      <c r="J10" s="20" t="n">
        <v>-9615.209999999999</v>
      </c>
      <c r="K10" s="20" t="n">
        <v>-764.9299999999999</v>
      </c>
      <c r="L10" s="21">
        <f>C10+D10</f>
        <v/>
      </c>
      <c r="M10" s="21">
        <f>SUM(E10:I10)</f>
        <v/>
      </c>
      <c r="N10" s="21">
        <f>SUM(C10:K10)</f>
        <v/>
      </c>
    </row>
    <row r="11" ht="15" customHeight="1" s="17">
      <c r="A11" s="22" t="inlineStr">
        <is>
          <t xml:space="preserve"> Profit </t>
        </is>
      </c>
      <c r="B11" s="22" t="inlineStr">
        <is>
          <t>Februray</t>
        </is>
      </c>
      <c r="C11" s="24" t="n">
        <v>-158601.03</v>
      </c>
      <c r="D11" s="24" t="n">
        <v>-179702.4</v>
      </c>
      <c r="E11" s="24" t="n">
        <v>192271</v>
      </c>
      <c r="F11" s="24" t="n">
        <v>-1800</v>
      </c>
      <c r="G11" s="24" t="n">
        <v>-43103.44</v>
      </c>
      <c r="H11" s="24" t="n">
        <v>-4816.5</v>
      </c>
      <c r="I11" s="24" t="n">
        <v>-261125.88</v>
      </c>
      <c r="J11" s="24" t="n">
        <v>-9615.209999999999</v>
      </c>
      <c r="K11" s="24" t="n">
        <v>-764.9299999999999</v>
      </c>
      <c r="L11" s="25">
        <f>C11+D11</f>
        <v/>
      </c>
      <c r="M11" s="25">
        <f>SUM(E11:I11)</f>
        <v/>
      </c>
      <c r="N11" s="25">
        <f>SUM(C11:K11)</f>
        <v/>
      </c>
    </row>
    <row r="12" ht="15" customHeight="1" s="17">
      <c r="A12" s="18" t="inlineStr">
        <is>
          <t xml:space="preserve"> Revenue </t>
        </is>
      </c>
      <c r="B12" s="18" t="inlineStr">
        <is>
          <t>March</t>
        </is>
      </c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  <c r="L12" s="21">
        <f>C12+D12</f>
        <v/>
      </c>
      <c r="M12" s="21">
        <f>SUM(E12:I12)</f>
        <v/>
      </c>
      <c r="N12" s="21">
        <f>SUM(C12:K12)</f>
        <v/>
      </c>
    </row>
    <row r="13" ht="15" customHeight="1" s="17">
      <c r="A13" s="18" t="inlineStr">
        <is>
          <t xml:space="preserve"> Payroll </t>
        </is>
      </c>
      <c r="B13" s="18" t="inlineStr">
        <is>
          <t>March</t>
        </is>
      </c>
      <c r="C13" s="18" t="n"/>
      <c r="D13" s="18" t="n"/>
      <c r="E13" s="18" t="n"/>
      <c r="F13" s="18" t="n"/>
      <c r="G13" s="18" t="n"/>
      <c r="H13" s="18" t="n"/>
      <c r="I13" s="18" t="n"/>
      <c r="J13" s="18" t="n"/>
      <c r="K13" s="18" t="n"/>
      <c r="L13" s="21">
        <f>C13+D13</f>
        <v/>
      </c>
      <c r="M13" s="21">
        <f>SUM(E13:I13)</f>
        <v/>
      </c>
      <c r="N13" s="21">
        <f>SUM(C13:K13)</f>
        <v/>
      </c>
    </row>
    <row r="14" ht="15" customHeight="1" s="17">
      <c r="A14" s="18" t="inlineStr">
        <is>
          <t xml:space="preserve"> Other Exp</t>
        </is>
      </c>
      <c r="B14" s="18" t="inlineStr">
        <is>
          <t>March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  <c r="L14" s="21">
        <f>C14+D14</f>
        <v/>
      </c>
      <c r="M14" s="21">
        <f>SUM(E14:I14)</f>
        <v/>
      </c>
      <c r="N14" s="21">
        <f>SUM(C14:K14)</f>
        <v/>
      </c>
    </row>
    <row r="15" ht="15" customHeight="1" s="17">
      <c r="A15" s="18" t="inlineStr">
        <is>
          <t xml:space="preserve"> Op Profits </t>
        </is>
      </c>
      <c r="B15" s="18" t="inlineStr">
        <is>
          <t>March</t>
        </is>
      </c>
      <c r="C15" s="18" t="n"/>
      <c r="D15" s="18" t="n"/>
      <c r="E15" s="18" t="n"/>
      <c r="F15" s="18" t="n"/>
      <c r="G15" s="18" t="n"/>
      <c r="H15" s="18" t="n"/>
      <c r="I15" s="18" t="n"/>
      <c r="J15" s="18" t="n"/>
      <c r="K15" s="18" t="n"/>
      <c r="L15" s="21">
        <f>C15+D15</f>
        <v/>
      </c>
      <c r="M15" s="21">
        <f>SUM(E15:I15)</f>
        <v/>
      </c>
      <c r="N15" s="21">
        <f>SUM(C15:K15)</f>
        <v/>
      </c>
    </row>
    <row r="16" ht="15" customHeight="1" s="17">
      <c r="A16" s="22" t="inlineStr">
        <is>
          <t xml:space="preserve"> Profit </t>
        </is>
      </c>
      <c r="B16" s="22" t="inlineStr">
        <is>
          <t>March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5">
        <f>C16+D16</f>
        <v/>
      </c>
      <c r="M16" s="25">
        <f>SUM(E16:I16)</f>
        <v/>
      </c>
      <c r="N16" s="25">
        <f>SUM(C16:K16)</f>
        <v/>
      </c>
    </row>
    <row r="17" ht="15" customHeight="1" s="17">
      <c r="A17" s="26" t="inlineStr">
        <is>
          <t xml:space="preserve">Total Revenue </t>
        </is>
      </c>
      <c r="B17" s="26" t="inlineStr">
        <is>
          <t>Quarter 1</t>
        </is>
      </c>
      <c r="C17" s="27">
        <f>C2+C7+C12</f>
        <v/>
      </c>
      <c r="D17" s="27">
        <f>D2+D7+D12</f>
        <v/>
      </c>
      <c r="E17" s="27">
        <f>E2+E7+E12</f>
        <v/>
      </c>
      <c r="F17" s="27">
        <f>F2+F7+F12</f>
        <v/>
      </c>
      <c r="G17" s="27">
        <f>G2+G7+G12</f>
        <v/>
      </c>
      <c r="H17" s="27">
        <f>H2+H7+H12</f>
        <v/>
      </c>
      <c r="I17" s="27">
        <f>I2+I7+I12</f>
        <v/>
      </c>
      <c r="J17" s="27">
        <f>J2+J7+J12</f>
        <v/>
      </c>
      <c r="K17" s="27">
        <f>K2+K7+K12</f>
        <v/>
      </c>
      <c r="L17" s="27">
        <f>L2+L7+L12</f>
        <v/>
      </c>
      <c r="M17" s="27">
        <f>M2+M7+M12</f>
        <v/>
      </c>
      <c r="N17" s="27">
        <f>N2+N7+N12</f>
        <v/>
      </c>
    </row>
    <row r="18" ht="15" customHeight="1" s="17">
      <c r="A18" s="26" t="inlineStr">
        <is>
          <t xml:space="preserve">Total Payroll </t>
        </is>
      </c>
      <c r="B18" s="26" t="inlineStr">
        <is>
          <t>Quarter 1</t>
        </is>
      </c>
      <c r="C18" s="27">
        <f>C3+C8+C13</f>
        <v/>
      </c>
      <c r="D18" s="27">
        <f>D3+D8+D13</f>
        <v/>
      </c>
      <c r="E18" s="27">
        <f>E3+E8+E13</f>
        <v/>
      </c>
      <c r="F18" s="27">
        <f>F3+F8+F13</f>
        <v/>
      </c>
      <c r="G18" s="27">
        <f>G3+G8+G13</f>
        <v/>
      </c>
      <c r="H18" s="27">
        <f>H3+H8+H13</f>
        <v/>
      </c>
      <c r="I18" s="27">
        <f>I3+I8+I13</f>
        <v/>
      </c>
      <c r="J18" s="27">
        <f>J3+J8+J13</f>
        <v/>
      </c>
      <c r="K18" s="27">
        <f>K3+K8+K13</f>
        <v/>
      </c>
      <c r="L18" s="27">
        <f>L3+L8+L13</f>
        <v/>
      </c>
      <c r="M18" s="27">
        <f>M3+M8+M13</f>
        <v/>
      </c>
      <c r="N18" s="27">
        <f>N3+N8+N13</f>
        <v/>
      </c>
    </row>
    <row r="19" ht="15" customHeight="1" s="17">
      <c r="A19" s="26" t="inlineStr">
        <is>
          <t>Total Other Exp</t>
        </is>
      </c>
      <c r="B19" s="26" t="inlineStr">
        <is>
          <t>Quarter 1</t>
        </is>
      </c>
      <c r="C19" s="27">
        <f>C4+C9+C14</f>
        <v/>
      </c>
      <c r="D19" s="27">
        <f>D4+D9+D14</f>
        <v/>
      </c>
      <c r="E19" s="27">
        <f>E4+E9+E14</f>
        <v/>
      </c>
      <c r="F19" s="27">
        <f>F4+F9+F14</f>
        <v/>
      </c>
      <c r="G19" s="27">
        <f>G4+G9+G14</f>
        <v/>
      </c>
      <c r="H19" s="27">
        <f>H4+H9+H14</f>
        <v/>
      </c>
      <c r="I19" s="27">
        <f>I4+I9+I14</f>
        <v/>
      </c>
      <c r="J19" s="27">
        <f>J4+J9+J14</f>
        <v/>
      </c>
      <c r="K19" s="27">
        <f>K4+K9+K14</f>
        <v/>
      </c>
      <c r="L19" s="27">
        <f>L4+L9+L14</f>
        <v/>
      </c>
      <c r="M19" s="27">
        <f>M4+M9+M14</f>
        <v/>
      </c>
      <c r="N19" s="27">
        <f>N4+N9+N14</f>
        <v/>
      </c>
    </row>
    <row r="20" ht="15" customHeight="1" s="17">
      <c r="A20" s="26" t="inlineStr">
        <is>
          <t xml:space="preserve">Total Op Profits </t>
        </is>
      </c>
      <c r="B20" s="26" t="inlineStr">
        <is>
          <t>Quarter 1</t>
        </is>
      </c>
      <c r="C20" s="27">
        <f>C5+C10+C15</f>
        <v/>
      </c>
      <c r="D20" s="27">
        <f>D5+D10+D15</f>
        <v/>
      </c>
      <c r="E20" s="27">
        <f>E5+E10+E15</f>
        <v/>
      </c>
      <c r="F20" s="27">
        <f>F5+F10+F15</f>
        <v/>
      </c>
      <c r="G20" s="27">
        <f>G5+G10+G15</f>
        <v/>
      </c>
      <c r="H20" s="27">
        <f>H5+H10+H15</f>
        <v/>
      </c>
      <c r="I20" s="27">
        <f>I5+I10+I15</f>
        <v/>
      </c>
      <c r="J20" s="27">
        <f>J5+J10+J15</f>
        <v/>
      </c>
      <c r="K20" s="27">
        <f>K5+K10+K15</f>
        <v/>
      </c>
      <c r="L20" s="27">
        <f>L5+L10+L15</f>
        <v/>
      </c>
      <c r="M20" s="27">
        <f>M5+M10+M15</f>
        <v/>
      </c>
      <c r="N20" s="27">
        <f>N5+N10+N15</f>
        <v/>
      </c>
    </row>
    <row r="21" ht="15" customHeight="1" s="17">
      <c r="A21" s="28" t="inlineStr">
        <is>
          <t xml:space="preserve">Total Profit </t>
        </is>
      </c>
      <c r="B21" s="28" t="inlineStr">
        <is>
          <t>Quarter 1</t>
        </is>
      </c>
      <c r="C21" s="29">
        <f>C6+C11+C16</f>
        <v/>
      </c>
      <c r="D21" s="29">
        <f>D6+D11+D16</f>
        <v/>
      </c>
      <c r="E21" s="29">
        <f>E6+E11+E16</f>
        <v/>
      </c>
      <c r="F21" s="29">
        <f>F6+F11+F16</f>
        <v/>
      </c>
      <c r="G21" s="29">
        <f>G6+G11+G16</f>
        <v/>
      </c>
      <c r="H21" s="29">
        <f>H6+H11+H16</f>
        <v/>
      </c>
      <c r="I21" s="29">
        <f>I6+I11+I16</f>
        <v/>
      </c>
      <c r="J21" s="29">
        <f>J6+J11+J16</f>
        <v/>
      </c>
      <c r="K21" s="29">
        <f>K6+K11+K16</f>
        <v/>
      </c>
      <c r="L21" s="29">
        <f>L6+L11+L16</f>
        <v/>
      </c>
      <c r="M21" s="29">
        <f>M6+M11+M16</f>
        <v/>
      </c>
      <c r="N21" s="29">
        <f>N6+N11+N16</f>
        <v/>
      </c>
    </row>
    <row r="22" ht="15" customHeight="1" s="17">
      <c r="A22" s="18" t="inlineStr">
        <is>
          <t xml:space="preserve"> Revenue </t>
        </is>
      </c>
      <c r="B22" s="18" t="inlineStr">
        <is>
          <t>April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21">
        <f>C22+D22</f>
        <v/>
      </c>
      <c r="M22" s="21">
        <f>SUM(E22:I22)</f>
        <v/>
      </c>
      <c r="N22" s="21">
        <f>SUM(C22:K22)</f>
        <v/>
      </c>
    </row>
    <row r="23" ht="15" customHeight="1" s="17">
      <c r="A23" s="18" t="inlineStr">
        <is>
          <t xml:space="preserve"> Payroll </t>
        </is>
      </c>
      <c r="B23" s="18" t="inlineStr">
        <is>
          <t>April</t>
        </is>
      </c>
      <c r="C23" s="18" t="n"/>
      <c r="D23" s="18" t="n"/>
      <c r="E23" s="18" t="n"/>
      <c r="F23" s="18" t="n"/>
      <c r="G23" s="18" t="n"/>
      <c r="H23" s="18" t="n"/>
      <c r="I23" s="18" t="n"/>
      <c r="J23" s="18" t="n"/>
      <c r="K23" s="18" t="n"/>
      <c r="L23" s="21">
        <f>C23+D23</f>
        <v/>
      </c>
      <c r="M23" s="21">
        <f>SUM(E23:I23)</f>
        <v/>
      </c>
      <c r="N23" s="21">
        <f>SUM(C23:K23)</f>
        <v/>
      </c>
    </row>
    <row r="24" ht="15" customHeight="1" s="17">
      <c r="A24" s="18" t="inlineStr">
        <is>
          <t xml:space="preserve"> Other Exp</t>
        </is>
      </c>
      <c r="B24" s="18" t="inlineStr">
        <is>
          <t>April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21">
        <f>C24+D24</f>
        <v/>
      </c>
      <c r="M24" s="21">
        <f>SUM(E24:I24)</f>
        <v/>
      </c>
      <c r="N24" s="21">
        <f>SUM(C24:K24)</f>
        <v/>
      </c>
    </row>
    <row r="25" ht="15" customHeight="1" s="17">
      <c r="A25" s="18" t="inlineStr">
        <is>
          <t xml:space="preserve"> Op Profits </t>
        </is>
      </c>
      <c r="B25" s="18" t="inlineStr">
        <is>
          <t>April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21">
        <f>C25+D25</f>
        <v/>
      </c>
      <c r="M25" s="21">
        <f>SUM(E25:I25)</f>
        <v/>
      </c>
      <c r="N25" s="21">
        <f>SUM(C25:K25)</f>
        <v/>
      </c>
    </row>
    <row r="26" ht="15" customHeight="1" s="17">
      <c r="A26" s="22" t="inlineStr">
        <is>
          <t xml:space="preserve"> Profit </t>
        </is>
      </c>
      <c r="B26" s="22" t="inlineStr">
        <is>
          <t>April</t>
        </is>
      </c>
      <c r="C26" s="22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5">
        <f>C26+D26</f>
        <v/>
      </c>
      <c r="M26" s="25">
        <f>SUM(E26:I26)</f>
        <v/>
      </c>
      <c r="N26" s="25">
        <f>SUM(C26:K26)</f>
        <v/>
      </c>
    </row>
    <row r="27" ht="15" customHeight="1" s="17">
      <c r="A27" s="18" t="inlineStr">
        <is>
          <t xml:space="preserve"> Revenue </t>
        </is>
      </c>
      <c r="B27" s="18" t="inlineStr">
        <is>
          <t>May</t>
        </is>
      </c>
      <c r="C27" s="18" t="n"/>
      <c r="D27" s="18" t="n"/>
      <c r="E27" s="18" t="n"/>
      <c r="F27" s="18" t="n"/>
      <c r="G27" s="18" t="n"/>
      <c r="H27" s="18" t="n"/>
      <c r="I27" s="18" t="n"/>
      <c r="J27" s="18" t="n"/>
      <c r="K27" s="18" t="n"/>
      <c r="L27" s="21">
        <f>C27+D27</f>
        <v/>
      </c>
      <c r="M27" s="21">
        <f>SUM(E27:I27)</f>
        <v/>
      </c>
      <c r="N27" s="21">
        <f>SUM(C27:K27)</f>
        <v/>
      </c>
    </row>
    <row r="28" ht="15" customHeight="1" s="17">
      <c r="A28" s="18" t="inlineStr">
        <is>
          <t xml:space="preserve"> Payroll </t>
        </is>
      </c>
      <c r="B28" s="18" t="inlineStr">
        <is>
          <t>May</t>
        </is>
      </c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  <c r="L28" s="21">
        <f>C28+D28</f>
        <v/>
      </c>
      <c r="M28" s="21">
        <f>SUM(E28:I28)</f>
        <v/>
      </c>
      <c r="N28" s="21">
        <f>SUM(C28:K28)</f>
        <v/>
      </c>
    </row>
    <row r="29" ht="15" customHeight="1" s="17">
      <c r="A29" s="18" t="inlineStr">
        <is>
          <t xml:space="preserve"> Other Exp</t>
        </is>
      </c>
      <c r="B29" s="18" t="inlineStr">
        <is>
          <t>May</t>
        </is>
      </c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21">
        <f>C29+D29</f>
        <v/>
      </c>
      <c r="M29" s="21">
        <f>SUM(E29:I29)</f>
        <v/>
      </c>
      <c r="N29" s="21">
        <f>SUM(C29:K29)</f>
        <v/>
      </c>
    </row>
    <row r="30" ht="15" customHeight="1" s="17">
      <c r="A30" s="18" t="inlineStr">
        <is>
          <t xml:space="preserve"> Op Profits </t>
        </is>
      </c>
      <c r="B30" s="18" t="inlineStr">
        <is>
          <t>May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21">
        <f>C30+D30</f>
        <v/>
      </c>
      <c r="M30" s="21">
        <f>SUM(E30:I30)</f>
        <v/>
      </c>
      <c r="N30" s="21">
        <f>SUM(C30:K30)</f>
        <v/>
      </c>
    </row>
    <row r="31" ht="15" customHeight="1" s="17">
      <c r="A31" s="22" t="inlineStr">
        <is>
          <t xml:space="preserve"> Profit </t>
        </is>
      </c>
      <c r="B31" s="22" t="inlineStr">
        <is>
          <t>May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5">
        <f>C31+D31</f>
        <v/>
      </c>
      <c r="M31" s="25">
        <f>SUM(E31:I31)</f>
        <v/>
      </c>
      <c r="N31" s="25">
        <f>SUM(C31:K31)</f>
        <v/>
      </c>
    </row>
    <row r="32" ht="15" customHeight="1" s="17">
      <c r="A32" s="18" t="inlineStr">
        <is>
          <t xml:space="preserve"> Revenue </t>
        </is>
      </c>
      <c r="B32" s="18" t="inlineStr">
        <is>
          <t>June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  <c r="L32" s="21">
        <f>C32+D32</f>
        <v/>
      </c>
      <c r="M32" s="21">
        <f>SUM(E32:I32)</f>
        <v/>
      </c>
      <c r="N32" s="21">
        <f>SUM(C32:K32)</f>
        <v/>
      </c>
    </row>
    <row r="33" ht="15" customHeight="1" s="17">
      <c r="A33" s="18" t="inlineStr">
        <is>
          <t xml:space="preserve"> Payroll </t>
        </is>
      </c>
      <c r="B33" s="18" t="inlineStr">
        <is>
          <t>June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21">
        <f>C33+D33</f>
        <v/>
      </c>
      <c r="M33" s="21">
        <f>SUM(E33:I33)</f>
        <v/>
      </c>
      <c r="N33" s="21">
        <f>SUM(C33:K33)</f>
        <v/>
      </c>
    </row>
    <row r="34" ht="15" customHeight="1" s="17">
      <c r="A34" s="18" t="inlineStr">
        <is>
          <t xml:space="preserve"> Other Exp</t>
        </is>
      </c>
      <c r="B34" s="18" t="inlineStr">
        <is>
          <t>June</t>
        </is>
      </c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21">
        <f>C34+D34</f>
        <v/>
      </c>
      <c r="M34" s="21">
        <f>SUM(E34:I34)</f>
        <v/>
      </c>
      <c r="N34" s="21">
        <f>SUM(C34:K34)</f>
        <v/>
      </c>
    </row>
    <row r="35" ht="15" customHeight="1" s="17">
      <c r="A35" s="18" t="inlineStr">
        <is>
          <t xml:space="preserve"> Op Profits </t>
        </is>
      </c>
      <c r="B35" s="18" t="inlineStr">
        <is>
          <t>June</t>
        </is>
      </c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21">
        <f>C35+D35</f>
        <v/>
      </c>
      <c r="M35" s="21">
        <f>SUM(E35:I35)</f>
        <v/>
      </c>
      <c r="N35" s="21">
        <f>SUM(C35:K35)</f>
        <v/>
      </c>
    </row>
    <row r="36" ht="15" customHeight="1" s="17">
      <c r="A36" s="22" t="inlineStr">
        <is>
          <t xml:space="preserve"> Profit </t>
        </is>
      </c>
      <c r="B36" s="22" t="inlineStr">
        <is>
          <t>June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5">
        <f>C36+D36</f>
        <v/>
      </c>
      <c r="M36" s="25">
        <f>SUM(E36:I36)</f>
        <v/>
      </c>
      <c r="N36" s="25">
        <f>SUM(C36:K36)</f>
        <v/>
      </c>
    </row>
    <row r="37" ht="15" customHeight="1" s="17">
      <c r="A37" s="26" t="inlineStr">
        <is>
          <t xml:space="preserve">Total Revenue </t>
        </is>
      </c>
      <c r="B37" s="26" t="inlineStr">
        <is>
          <t>Quarter 2</t>
        </is>
      </c>
      <c r="C37" s="27">
        <f>C22+C27+C32</f>
        <v/>
      </c>
      <c r="D37" s="27">
        <f>D22+D27+D32</f>
        <v/>
      </c>
      <c r="E37" s="27">
        <f>E22+E27+E32</f>
        <v/>
      </c>
      <c r="F37" s="27">
        <f>F22+F27+F32</f>
        <v/>
      </c>
      <c r="G37" s="27">
        <f>G22+G27+G32</f>
        <v/>
      </c>
      <c r="H37" s="27">
        <f>H22+H27+H32</f>
        <v/>
      </c>
      <c r="I37" s="27">
        <f>I22+I27+I32</f>
        <v/>
      </c>
      <c r="J37" s="27">
        <f>J22+J27+J32</f>
        <v/>
      </c>
      <c r="K37" s="27">
        <f>K22+K27+K32</f>
        <v/>
      </c>
      <c r="L37" s="27">
        <f>L22+L27+L32</f>
        <v/>
      </c>
      <c r="M37" s="27">
        <f>M22+M27+M32</f>
        <v/>
      </c>
      <c r="N37" s="27">
        <f>N22+N27+N32</f>
        <v/>
      </c>
    </row>
    <row r="38" ht="15" customHeight="1" s="17">
      <c r="A38" s="26" t="inlineStr">
        <is>
          <t xml:space="preserve">Total Payroll </t>
        </is>
      </c>
      <c r="B38" s="26" t="inlineStr">
        <is>
          <t>Quarter 2</t>
        </is>
      </c>
      <c r="C38" s="27">
        <f>C23+C28+C33</f>
        <v/>
      </c>
      <c r="D38" s="27">
        <f>D23+D28+D33</f>
        <v/>
      </c>
      <c r="E38" s="27">
        <f>E23+E28+E33</f>
        <v/>
      </c>
      <c r="F38" s="27">
        <f>F23+F28+F33</f>
        <v/>
      </c>
      <c r="G38" s="27">
        <f>G23+G28+G33</f>
        <v/>
      </c>
      <c r="H38" s="27">
        <f>H23+H28+H33</f>
        <v/>
      </c>
      <c r="I38" s="27">
        <f>I23+I28+I33</f>
        <v/>
      </c>
      <c r="J38" s="27">
        <f>J23+J28+J33</f>
        <v/>
      </c>
      <c r="K38" s="27">
        <f>K23+K28+K33</f>
        <v/>
      </c>
      <c r="L38" s="27">
        <f>L23+L28+L33</f>
        <v/>
      </c>
      <c r="M38" s="27">
        <f>M23+M28+M33</f>
        <v/>
      </c>
      <c r="N38" s="27">
        <f>N23+N28+N33</f>
        <v/>
      </c>
    </row>
    <row r="39" ht="15" customHeight="1" s="17">
      <c r="A39" s="26" t="inlineStr">
        <is>
          <t>Total Other Exp</t>
        </is>
      </c>
      <c r="B39" s="26" t="inlineStr">
        <is>
          <t>Quarter 2</t>
        </is>
      </c>
      <c r="C39" s="27">
        <f>C24+C29+C34</f>
        <v/>
      </c>
      <c r="D39" s="27">
        <f>D24+D29+D34</f>
        <v/>
      </c>
      <c r="E39" s="27">
        <f>E24+E29+E34</f>
        <v/>
      </c>
      <c r="F39" s="27">
        <f>F24+F29+F34</f>
        <v/>
      </c>
      <c r="G39" s="27">
        <f>G24+G29+G34</f>
        <v/>
      </c>
      <c r="H39" s="27">
        <f>H24+H29+H34</f>
        <v/>
      </c>
      <c r="I39" s="27">
        <f>I24+I29+I34</f>
        <v/>
      </c>
      <c r="J39" s="27">
        <f>J24+J29+J34</f>
        <v/>
      </c>
      <c r="K39" s="27">
        <f>K24+K29+K34</f>
        <v/>
      </c>
      <c r="L39" s="27">
        <f>L24+L29+L34</f>
        <v/>
      </c>
      <c r="M39" s="27">
        <f>M24+M29+M34</f>
        <v/>
      </c>
      <c r="N39" s="27">
        <f>N24+N29+N34</f>
        <v/>
      </c>
    </row>
    <row r="40" ht="15" customHeight="1" s="17">
      <c r="A40" s="26" t="inlineStr">
        <is>
          <t xml:space="preserve">Total Op Profits </t>
        </is>
      </c>
      <c r="B40" s="26" t="inlineStr">
        <is>
          <t>Quarter 2</t>
        </is>
      </c>
      <c r="C40" s="27">
        <f>C25+C30+C35</f>
        <v/>
      </c>
      <c r="D40" s="27">
        <f>D25+D30+D35</f>
        <v/>
      </c>
      <c r="E40" s="27">
        <f>E25+E30+E35</f>
        <v/>
      </c>
      <c r="F40" s="27">
        <f>F25+F30+F35</f>
        <v/>
      </c>
      <c r="G40" s="27">
        <f>G25+G30+G35</f>
        <v/>
      </c>
      <c r="H40" s="27">
        <f>H25+H30+H35</f>
        <v/>
      </c>
      <c r="I40" s="27">
        <f>I25+I30+I35</f>
        <v/>
      </c>
      <c r="J40" s="27">
        <f>J25+J30+J35</f>
        <v/>
      </c>
      <c r="K40" s="27">
        <f>K25+K30+K35</f>
        <v/>
      </c>
      <c r="L40" s="27">
        <f>L25+L30+L35</f>
        <v/>
      </c>
      <c r="M40" s="27">
        <f>M25+M30+M35</f>
        <v/>
      </c>
      <c r="N40" s="27">
        <f>N25+N30+N35</f>
        <v/>
      </c>
    </row>
    <row r="41" ht="15" customHeight="1" s="17">
      <c r="A41" s="28" t="inlineStr">
        <is>
          <t xml:space="preserve">Total Profit </t>
        </is>
      </c>
      <c r="B41" s="28" t="inlineStr">
        <is>
          <t>Quarter 2</t>
        </is>
      </c>
      <c r="C41" s="29">
        <f>C26+C31+C36</f>
        <v/>
      </c>
      <c r="D41" s="29">
        <f>D26+D31+D36</f>
        <v/>
      </c>
      <c r="E41" s="29">
        <f>E26+E31+E36</f>
        <v/>
      </c>
      <c r="F41" s="29">
        <f>F26+F31+F36</f>
        <v/>
      </c>
      <c r="G41" s="29">
        <f>G26+G31+G36</f>
        <v/>
      </c>
      <c r="H41" s="29">
        <f>H26+H31+H36</f>
        <v/>
      </c>
      <c r="I41" s="29">
        <f>I26+I31+I36</f>
        <v/>
      </c>
      <c r="J41" s="29">
        <f>J26+J31+J36</f>
        <v/>
      </c>
      <c r="K41" s="29">
        <f>K26+K31+K36</f>
        <v/>
      </c>
      <c r="L41" s="29">
        <f>L26+L31+L36</f>
        <v/>
      </c>
      <c r="M41" s="29">
        <f>M26+M31+M36</f>
        <v/>
      </c>
      <c r="N41" s="29">
        <f>N26+N31+N36</f>
        <v/>
      </c>
    </row>
    <row r="42" ht="15" customHeight="1" s="17">
      <c r="A42" s="18" t="inlineStr">
        <is>
          <t xml:space="preserve"> Revenue </t>
        </is>
      </c>
      <c r="B42" s="18" t="inlineStr">
        <is>
          <t>July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  <c r="L42" s="21">
        <f>C42+D42</f>
        <v/>
      </c>
      <c r="M42" s="21">
        <f>SUM(E42:I42)</f>
        <v/>
      </c>
      <c r="N42" s="21">
        <f>SUM(C42:K42)</f>
        <v/>
      </c>
    </row>
    <row r="43" ht="15" customHeight="1" s="17">
      <c r="A43" s="18" t="inlineStr">
        <is>
          <t xml:space="preserve"> Payroll </t>
        </is>
      </c>
      <c r="B43" s="18" t="inlineStr">
        <is>
          <t>July</t>
        </is>
      </c>
      <c r="C43" s="18" t="n"/>
      <c r="D43" s="18" t="n"/>
      <c r="E43" s="18" t="n"/>
      <c r="F43" s="18" t="n"/>
      <c r="G43" s="18" t="n"/>
      <c r="H43" s="18" t="n"/>
      <c r="I43" s="18" t="n"/>
      <c r="J43" s="18" t="n"/>
      <c r="K43" s="18" t="n"/>
      <c r="L43" s="21">
        <f>C43+D43</f>
        <v/>
      </c>
      <c r="M43" s="21">
        <f>SUM(E43:I43)</f>
        <v/>
      </c>
      <c r="N43" s="21">
        <f>SUM(C43:K43)</f>
        <v/>
      </c>
    </row>
    <row r="44" ht="15" customHeight="1" s="17">
      <c r="A44" s="18" t="inlineStr">
        <is>
          <t xml:space="preserve"> Other Exp</t>
        </is>
      </c>
      <c r="B44" s="18" t="inlineStr">
        <is>
          <t>July</t>
        </is>
      </c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21">
        <f>C44+D44</f>
        <v/>
      </c>
      <c r="M44" s="21">
        <f>SUM(E44:I44)</f>
        <v/>
      </c>
      <c r="N44" s="21">
        <f>SUM(C44:K44)</f>
        <v/>
      </c>
    </row>
    <row r="45" ht="15" customHeight="1" s="17">
      <c r="A45" s="18" t="inlineStr">
        <is>
          <t xml:space="preserve"> Op Profits </t>
        </is>
      </c>
      <c r="B45" s="18" t="inlineStr">
        <is>
          <t>July</t>
        </is>
      </c>
      <c r="C45" s="18" t="n"/>
      <c r="D45" s="18" t="n"/>
      <c r="E45" s="18" t="n"/>
      <c r="F45" s="18" t="n"/>
      <c r="G45" s="18" t="n"/>
      <c r="H45" s="18" t="n"/>
      <c r="I45" s="18" t="n"/>
      <c r="J45" s="18" t="n"/>
      <c r="K45" s="18" t="n"/>
      <c r="L45" s="21">
        <f>C45+D45</f>
        <v/>
      </c>
      <c r="M45" s="21">
        <f>SUM(E45:I45)</f>
        <v/>
      </c>
      <c r="N45" s="21">
        <f>SUM(C45:K45)</f>
        <v/>
      </c>
    </row>
    <row r="46" ht="15" customHeight="1" s="17">
      <c r="A46" s="22" t="inlineStr">
        <is>
          <t xml:space="preserve"> Profit </t>
        </is>
      </c>
      <c r="B46" s="22" t="inlineStr">
        <is>
          <t>July</t>
        </is>
      </c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5">
        <f>C46+D46</f>
        <v/>
      </c>
      <c r="M46" s="25">
        <f>SUM(E46:I46)</f>
        <v/>
      </c>
      <c r="N46" s="25">
        <f>SUM(C46:K46)</f>
        <v/>
      </c>
    </row>
    <row r="47" ht="15" customHeight="1" s="17">
      <c r="A47" s="18" t="inlineStr">
        <is>
          <t xml:space="preserve"> Revenue </t>
        </is>
      </c>
      <c r="B47" s="18" t="inlineStr">
        <is>
          <t>August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21">
        <f>C47+D47</f>
        <v/>
      </c>
      <c r="M47" s="21">
        <f>SUM(E47:I47)</f>
        <v/>
      </c>
      <c r="N47" s="21">
        <f>SUM(C47:K47)</f>
        <v/>
      </c>
    </row>
    <row r="48" ht="15" customHeight="1" s="17">
      <c r="A48" s="18" t="inlineStr">
        <is>
          <t xml:space="preserve"> Payroll </t>
        </is>
      </c>
      <c r="B48" s="18" t="inlineStr">
        <is>
          <t>August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21">
        <f>C48+D48</f>
        <v/>
      </c>
      <c r="M48" s="21">
        <f>SUM(E48:I48)</f>
        <v/>
      </c>
      <c r="N48" s="21">
        <f>SUM(C48:K48)</f>
        <v/>
      </c>
    </row>
    <row r="49" ht="15" customHeight="1" s="17">
      <c r="A49" s="18" t="inlineStr">
        <is>
          <t xml:space="preserve"> Other Exp</t>
        </is>
      </c>
      <c r="B49" s="18" t="inlineStr">
        <is>
          <t>August</t>
        </is>
      </c>
      <c r="C49" s="18" t="n"/>
      <c r="D49" s="18" t="n"/>
      <c r="E49" s="18" t="n"/>
      <c r="F49" s="18" t="n"/>
      <c r="G49" s="18" t="n"/>
      <c r="H49" s="18" t="n"/>
      <c r="I49" s="18" t="n"/>
      <c r="J49" s="18" t="n"/>
      <c r="K49" s="18" t="n"/>
      <c r="L49" s="21">
        <f>C49+D49</f>
        <v/>
      </c>
      <c r="M49" s="21">
        <f>SUM(E49:I49)</f>
        <v/>
      </c>
      <c r="N49" s="21">
        <f>SUM(C49:K49)</f>
        <v/>
      </c>
    </row>
    <row r="50" ht="15" customHeight="1" s="17">
      <c r="A50" s="18" t="inlineStr">
        <is>
          <t xml:space="preserve"> Op Profits </t>
        </is>
      </c>
      <c r="B50" s="18" t="inlineStr">
        <is>
          <t>August</t>
        </is>
      </c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  <c r="L50" s="21">
        <f>C50+D50</f>
        <v/>
      </c>
      <c r="M50" s="21">
        <f>SUM(E50:I50)</f>
        <v/>
      </c>
      <c r="N50" s="21">
        <f>SUM(C50:K50)</f>
        <v/>
      </c>
    </row>
    <row r="51" ht="15" customHeight="1" s="17">
      <c r="A51" s="22" t="inlineStr">
        <is>
          <t xml:space="preserve"> Profit </t>
        </is>
      </c>
      <c r="B51" s="22" t="inlineStr">
        <is>
          <t>August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5">
        <f>C51+D51</f>
        <v/>
      </c>
      <c r="M51" s="25">
        <f>SUM(E51:I51)</f>
        <v/>
      </c>
      <c r="N51" s="25">
        <f>SUM(C51:K51)</f>
        <v/>
      </c>
    </row>
    <row r="52" ht="15" customHeight="1" s="17">
      <c r="A52" s="18" t="inlineStr">
        <is>
          <t xml:space="preserve"> Revenue </t>
        </is>
      </c>
      <c r="B52" s="18" t="inlineStr">
        <is>
          <t xml:space="preserve">September </t>
        </is>
      </c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21">
        <f>C52+D52</f>
        <v/>
      </c>
      <c r="M52" s="21">
        <f>SUM(E52:I52)</f>
        <v/>
      </c>
      <c r="N52" s="21">
        <f>SUM(C52:K52)</f>
        <v/>
      </c>
    </row>
    <row r="53" ht="15" customHeight="1" s="17">
      <c r="A53" s="18" t="inlineStr">
        <is>
          <t xml:space="preserve"> Payroll </t>
        </is>
      </c>
      <c r="B53" s="18" t="inlineStr">
        <is>
          <t xml:space="preserve">September </t>
        </is>
      </c>
      <c r="C53" s="18" t="n"/>
      <c r="D53" s="18" t="n"/>
      <c r="E53" s="18" t="n"/>
      <c r="F53" s="18" t="n"/>
      <c r="G53" s="18" t="n"/>
      <c r="H53" s="18" t="n"/>
      <c r="I53" s="18" t="n"/>
      <c r="J53" s="18" t="n"/>
      <c r="K53" s="18" t="n"/>
      <c r="L53" s="21">
        <f>C53+D53</f>
        <v/>
      </c>
      <c r="M53" s="21">
        <f>SUM(E53:I53)</f>
        <v/>
      </c>
      <c r="N53" s="21">
        <f>SUM(C53:K53)</f>
        <v/>
      </c>
    </row>
    <row r="54" ht="15" customHeight="1" s="17">
      <c r="A54" s="18" t="inlineStr">
        <is>
          <t xml:space="preserve"> Other Exp</t>
        </is>
      </c>
      <c r="B54" s="18" t="inlineStr">
        <is>
          <t xml:space="preserve">September </t>
        </is>
      </c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  <c r="L54" s="21">
        <f>C54+D54</f>
        <v/>
      </c>
      <c r="M54" s="21">
        <f>SUM(E54:I54)</f>
        <v/>
      </c>
      <c r="N54" s="21">
        <f>SUM(C54:K54)</f>
        <v/>
      </c>
    </row>
    <row r="55" ht="15" customHeight="1" s="17">
      <c r="A55" s="18" t="inlineStr">
        <is>
          <t xml:space="preserve"> Op Profits </t>
        </is>
      </c>
      <c r="B55" s="18" t="inlineStr">
        <is>
          <t xml:space="preserve">September </t>
        </is>
      </c>
      <c r="C55" s="18" t="n"/>
      <c r="D55" s="18" t="n"/>
      <c r="E55" s="18" t="n"/>
      <c r="F55" s="18" t="n"/>
      <c r="G55" s="18" t="n"/>
      <c r="H55" s="18" t="n"/>
      <c r="I55" s="18" t="n"/>
      <c r="J55" s="18" t="n"/>
      <c r="K55" s="18" t="n"/>
      <c r="L55" s="21">
        <f>C55+D55</f>
        <v/>
      </c>
      <c r="M55" s="21">
        <f>SUM(E55:I55)</f>
        <v/>
      </c>
      <c r="N55" s="21">
        <f>SUM(C55:K55)</f>
        <v/>
      </c>
    </row>
    <row r="56" ht="15" customHeight="1" s="17">
      <c r="A56" s="22" t="inlineStr">
        <is>
          <t xml:space="preserve"> Profit </t>
        </is>
      </c>
      <c r="B56" s="22" t="inlineStr">
        <is>
          <t xml:space="preserve">September 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5">
        <f>C56+D56</f>
        <v/>
      </c>
      <c r="M56" s="25">
        <f>SUM(E56:I56)</f>
        <v/>
      </c>
      <c r="N56" s="25">
        <f>SUM(C56:K56)</f>
        <v/>
      </c>
    </row>
    <row r="57" ht="15" customHeight="1" s="17">
      <c r="A57" s="26" t="inlineStr">
        <is>
          <t xml:space="preserve">Total Revenue </t>
        </is>
      </c>
      <c r="B57" s="26" t="inlineStr">
        <is>
          <t>Quarter 3</t>
        </is>
      </c>
      <c r="C57" s="27">
        <f>C42+C47+C52</f>
        <v/>
      </c>
      <c r="D57" s="27">
        <f>D42+D47+D52</f>
        <v/>
      </c>
      <c r="E57" s="27">
        <f>E42+E47+E52</f>
        <v/>
      </c>
      <c r="F57" s="27">
        <f>F42+F47+F52</f>
        <v/>
      </c>
      <c r="G57" s="27">
        <f>G42+G47+G52</f>
        <v/>
      </c>
      <c r="H57" s="27">
        <f>H42+H47+H52</f>
        <v/>
      </c>
      <c r="I57" s="27">
        <f>I42+I47+I52</f>
        <v/>
      </c>
      <c r="J57" s="27">
        <f>J42+J47+J52</f>
        <v/>
      </c>
      <c r="K57" s="27">
        <f>K42+K47+K52</f>
        <v/>
      </c>
      <c r="L57" s="27">
        <f>L42+L47+L52</f>
        <v/>
      </c>
      <c r="M57" s="27">
        <f>M42+M47+M52</f>
        <v/>
      </c>
      <c r="N57" s="27">
        <f>N42+N47+N52</f>
        <v/>
      </c>
    </row>
    <row r="58" ht="15" customHeight="1" s="17">
      <c r="A58" s="26" t="inlineStr">
        <is>
          <t xml:space="preserve">Total Payroll </t>
        </is>
      </c>
      <c r="B58" s="26" t="inlineStr">
        <is>
          <t>Quarter 3</t>
        </is>
      </c>
      <c r="C58" s="27">
        <f>C43+C48+C53</f>
        <v/>
      </c>
      <c r="D58" s="27">
        <f>D43+D48+D53</f>
        <v/>
      </c>
      <c r="E58" s="27">
        <f>E43+E48+E53</f>
        <v/>
      </c>
      <c r="F58" s="27">
        <f>F43+F48+F53</f>
        <v/>
      </c>
      <c r="G58" s="27">
        <f>G43+G48+G53</f>
        <v/>
      </c>
      <c r="H58" s="27">
        <f>H43+H48+H53</f>
        <v/>
      </c>
      <c r="I58" s="27">
        <f>I43+I48+I53</f>
        <v/>
      </c>
      <c r="J58" s="27">
        <f>J43+J48+J53</f>
        <v/>
      </c>
      <c r="K58" s="27">
        <f>K43+K48+K53</f>
        <v/>
      </c>
      <c r="L58" s="27">
        <f>L43+L48+L53</f>
        <v/>
      </c>
      <c r="M58" s="27">
        <f>M43+M48+M53</f>
        <v/>
      </c>
      <c r="N58" s="27">
        <f>N43+N48+N53</f>
        <v/>
      </c>
    </row>
    <row r="59" ht="15" customHeight="1" s="17">
      <c r="A59" s="26" t="inlineStr">
        <is>
          <t>Total Other Exp</t>
        </is>
      </c>
      <c r="B59" s="26" t="inlineStr">
        <is>
          <t>Quarter 3</t>
        </is>
      </c>
      <c r="C59" s="27">
        <f>C44+C49+C54</f>
        <v/>
      </c>
      <c r="D59" s="27">
        <f>D44+D49+D54</f>
        <v/>
      </c>
      <c r="E59" s="27">
        <f>E44+E49+E54</f>
        <v/>
      </c>
      <c r="F59" s="27">
        <f>F44+F49+F54</f>
        <v/>
      </c>
      <c r="G59" s="27">
        <f>G44+G49+G54</f>
        <v/>
      </c>
      <c r="H59" s="27">
        <f>H44+H49+H54</f>
        <v/>
      </c>
      <c r="I59" s="27">
        <f>I44+I49+I54</f>
        <v/>
      </c>
      <c r="J59" s="27">
        <f>J44+J49+J54</f>
        <v/>
      </c>
      <c r="K59" s="27">
        <f>K44+K49+K54</f>
        <v/>
      </c>
      <c r="L59" s="27">
        <f>L44+L49+L54</f>
        <v/>
      </c>
      <c r="M59" s="27">
        <f>M44+M49+M54</f>
        <v/>
      </c>
      <c r="N59" s="27">
        <f>N44+N49+N54</f>
        <v/>
      </c>
    </row>
    <row r="60" ht="15" customHeight="1" s="17">
      <c r="A60" s="26" t="inlineStr">
        <is>
          <t xml:space="preserve">Total Op Profits </t>
        </is>
      </c>
      <c r="B60" s="26" t="inlineStr">
        <is>
          <t>Quarter 3</t>
        </is>
      </c>
      <c r="C60" s="27">
        <f>C45+C50+C55</f>
        <v/>
      </c>
      <c r="D60" s="27">
        <f>D45+D50+D55</f>
        <v/>
      </c>
      <c r="E60" s="27">
        <f>E45+E50+E55</f>
        <v/>
      </c>
      <c r="F60" s="27">
        <f>F45+F50+F55</f>
        <v/>
      </c>
      <c r="G60" s="27">
        <f>G45+G50+G55</f>
        <v/>
      </c>
      <c r="H60" s="27">
        <f>H45+H50+H55</f>
        <v/>
      </c>
      <c r="I60" s="27">
        <f>I45+I50+I55</f>
        <v/>
      </c>
      <c r="J60" s="27">
        <f>J45+J50+J55</f>
        <v/>
      </c>
      <c r="K60" s="27">
        <f>K45+K50+K55</f>
        <v/>
      </c>
      <c r="L60" s="27">
        <f>L45+L50+L55</f>
        <v/>
      </c>
      <c r="M60" s="27">
        <f>M45+M50+M55</f>
        <v/>
      </c>
      <c r="N60" s="27">
        <f>N45+N50+N55</f>
        <v/>
      </c>
    </row>
    <row r="61" ht="15" customHeight="1" s="17">
      <c r="A61" s="28" t="inlineStr">
        <is>
          <t xml:space="preserve">Total Profit </t>
        </is>
      </c>
      <c r="B61" s="28" t="inlineStr">
        <is>
          <t>Quarter 3</t>
        </is>
      </c>
      <c r="C61" s="29">
        <f>C46+C51+C56</f>
        <v/>
      </c>
      <c r="D61" s="29">
        <f>D46+D51+D56</f>
        <v/>
      </c>
      <c r="E61" s="29">
        <f>E46+E51+E56</f>
        <v/>
      </c>
      <c r="F61" s="29">
        <f>F46+F51+F56</f>
        <v/>
      </c>
      <c r="G61" s="29">
        <f>G46+G51+G56</f>
        <v/>
      </c>
      <c r="H61" s="29">
        <f>H46+H51+H56</f>
        <v/>
      </c>
      <c r="I61" s="29">
        <f>I46+I51+I56</f>
        <v/>
      </c>
      <c r="J61" s="29">
        <f>J46+J51+J56</f>
        <v/>
      </c>
      <c r="K61" s="29">
        <f>K46+K51+K56</f>
        <v/>
      </c>
      <c r="L61" s="29">
        <f>L46+L51+L56</f>
        <v/>
      </c>
      <c r="M61" s="29">
        <f>M46+M51+M56</f>
        <v/>
      </c>
      <c r="N61" s="29">
        <f>N46+N51+N56</f>
        <v/>
      </c>
    </row>
    <row r="62" ht="15" customHeight="1" s="17">
      <c r="A62" s="18" t="inlineStr">
        <is>
          <t xml:space="preserve">Total Revenue </t>
        </is>
      </c>
      <c r="B62" s="18" t="inlineStr">
        <is>
          <t xml:space="preserve">October </t>
        </is>
      </c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  <c r="L62" s="21">
        <f>C62+D62</f>
        <v/>
      </c>
      <c r="M62" s="21">
        <f>SUM(E62:I62)</f>
        <v/>
      </c>
      <c r="N62" s="21">
        <f>SUM(C62:K62)</f>
        <v/>
      </c>
    </row>
    <row r="63" ht="15" customHeight="1" s="17">
      <c r="A63" s="18" t="inlineStr">
        <is>
          <t xml:space="preserve">Total Payroll </t>
        </is>
      </c>
      <c r="B63" s="18" t="inlineStr">
        <is>
          <t xml:space="preserve">October </t>
        </is>
      </c>
      <c r="C63" s="18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</row>
    <row r="64" ht="15" customHeight="1" s="17">
      <c r="A64" s="18" t="inlineStr">
        <is>
          <t>Total Other Exp</t>
        </is>
      </c>
      <c r="B64" s="18" t="inlineStr">
        <is>
          <t xml:space="preserve">October </t>
        </is>
      </c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  <c r="L64" s="18" t="n"/>
      <c r="M64" s="18" t="n"/>
      <c r="N64" s="18" t="n"/>
    </row>
    <row r="65" ht="15" customHeight="1" s="17">
      <c r="A65" s="18" t="inlineStr">
        <is>
          <t xml:space="preserve">Total Op Profits </t>
        </is>
      </c>
      <c r="B65" s="18" t="inlineStr">
        <is>
          <t xml:space="preserve">October </t>
        </is>
      </c>
      <c r="C65" s="18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</row>
    <row r="66" ht="15" customHeight="1" s="17">
      <c r="A66" s="22" t="inlineStr">
        <is>
          <t xml:space="preserve">Total Profit </t>
        </is>
      </c>
      <c r="B66" s="22" t="inlineStr">
        <is>
          <t xml:space="preserve">October </t>
        </is>
      </c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</row>
    <row r="67" ht="15" customHeight="1" s="17">
      <c r="A67" s="18" t="inlineStr">
        <is>
          <t xml:space="preserve">Total Revenue </t>
        </is>
      </c>
      <c r="B67" s="18" t="inlineStr">
        <is>
          <t>November</t>
        </is>
      </c>
      <c r="C67" s="18" t="n"/>
      <c r="D67" s="18" t="n"/>
      <c r="E67" s="18" t="n"/>
      <c r="F67" s="18" t="n"/>
      <c r="G67" s="18" t="n"/>
      <c r="H67" s="18" t="n"/>
      <c r="I67" s="18" t="n"/>
      <c r="J67" s="18" t="n"/>
      <c r="K67" s="18" t="n"/>
      <c r="L67" s="18" t="n"/>
      <c r="M67" s="18" t="n"/>
      <c r="N67" s="18" t="n"/>
    </row>
    <row r="68" ht="15" customHeight="1" s="17">
      <c r="A68" s="18" t="inlineStr">
        <is>
          <t xml:space="preserve">Total Payroll </t>
        </is>
      </c>
      <c r="B68" s="18" t="inlineStr">
        <is>
          <t>November</t>
        </is>
      </c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  <c r="L68" s="18" t="n"/>
      <c r="M68" s="18" t="n"/>
      <c r="N68" s="18" t="n"/>
    </row>
    <row r="69" ht="15" customHeight="1" s="17">
      <c r="A69" s="18" t="inlineStr">
        <is>
          <t>Total Other Exp</t>
        </is>
      </c>
      <c r="B69" s="18" t="inlineStr">
        <is>
          <t>November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  <c r="M69" s="18" t="n"/>
      <c r="N69" s="18" t="n"/>
    </row>
    <row r="70" ht="15" customHeight="1" s="17">
      <c r="A70" s="18" t="inlineStr">
        <is>
          <t xml:space="preserve">Total Op Profits </t>
        </is>
      </c>
      <c r="B70" s="18" t="inlineStr">
        <is>
          <t>November</t>
        </is>
      </c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  <c r="L70" s="18" t="n"/>
      <c r="M70" s="18" t="n"/>
      <c r="N70" s="18" t="n"/>
    </row>
    <row r="71" ht="15" customHeight="1" s="17">
      <c r="A71" s="22" t="inlineStr">
        <is>
          <t xml:space="preserve">Total Profit </t>
        </is>
      </c>
      <c r="B71" s="22" t="inlineStr">
        <is>
          <t>November</t>
        </is>
      </c>
      <c r="C71" s="22" t="n"/>
      <c r="D71" s="22" t="n"/>
      <c r="E71" s="22" t="n"/>
      <c r="F71" s="22" t="n"/>
      <c r="G71" s="22" t="n"/>
      <c r="H71" s="22" t="n"/>
      <c r="I71" s="22" t="n"/>
      <c r="J71" s="22" t="n"/>
      <c r="K71" s="22" t="n"/>
      <c r="L71" s="22" t="n"/>
      <c r="M71" s="22" t="n"/>
      <c r="N71" s="22" t="n"/>
    </row>
    <row r="72" ht="15" customHeight="1" s="17">
      <c r="A72" s="18" t="inlineStr">
        <is>
          <t xml:space="preserve">Total Revenue </t>
        </is>
      </c>
      <c r="B72" s="18" t="inlineStr">
        <is>
          <t>December</t>
        </is>
      </c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  <c r="L72" s="18" t="n"/>
      <c r="M72" s="18" t="n"/>
      <c r="N72" s="18" t="n"/>
    </row>
    <row r="73" ht="15" customHeight="1" s="17">
      <c r="A73" s="18" t="inlineStr">
        <is>
          <t xml:space="preserve">Total Payroll </t>
        </is>
      </c>
      <c r="B73" s="18" t="inlineStr">
        <is>
          <t>December</t>
        </is>
      </c>
      <c r="C73" s="18" t="n"/>
      <c r="D73" s="18" t="n"/>
      <c r="E73" s="18" t="n"/>
      <c r="F73" s="18" t="n"/>
      <c r="G73" s="18" t="n"/>
      <c r="H73" s="18" t="n"/>
      <c r="I73" s="18" t="n"/>
      <c r="J73" s="18" t="n"/>
      <c r="K73" s="18" t="n"/>
      <c r="L73" s="18" t="n"/>
      <c r="M73" s="18" t="n"/>
      <c r="N73" s="18" t="n"/>
    </row>
    <row r="74" ht="15" customHeight="1" s="17">
      <c r="A74" s="18" t="inlineStr">
        <is>
          <t>Total Other Exp</t>
        </is>
      </c>
      <c r="B74" s="18" t="inlineStr">
        <is>
          <t>December</t>
        </is>
      </c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  <c r="L74" s="18" t="n"/>
      <c r="M74" s="18" t="n"/>
      <c r="N74" s="18" t="n"/>
    </row>
    <row r="75" ht="15" customHeight="1" s="17">
      <c r="A75" s="18" t="inlineStr">
        <is>
          <t xml:space="preserve">Total Op Profits </t>
        </is>
      </c>
      <c r="B75" s="18" t="inlineStr">
        <is>
          <t>December</t>
        </is>
      </c>
      <c r="C75" s="18" t="n"/>
      <c r="D75" s="18" t="n"/>
      <c r="E75" s="18" t="n"/>
      <c r="F75" s="18" t="n"/>
      <c r="G75" s="18" t="n"/>
      <c r="H75" s="18" t="n"/>
      <c r="I75" s="18" t="n"/>
      <c r="J75" s="18" t="n"/>
      <c r="K75" s="18" t="n"/>
      <c r="L75" s="18" t="n"/>
      <c r="M75" s="18" t="n"/>
      <c r="N75" s="18" t="n"/>
    </row>
    <row r="76" ht="15" customHeight="1" s="17">
      <c r="A76" s="22" t="inlineStr">
        <is>
          <t xml:space="preserve">Total Profit </t>
        </is>
      </c>
      <c r="B76" s="22" t="inlineStr">
        <is>
          <t>December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</row>
    <row r="77" ht="15" customHeight="1" s="17">
      <c r="A77" s="26" t="inlineStr">
        <is>
          <t xml:space="preserve">Total Revenue </t>
        </is>
      </c>
      <c r="B77" s="26" t="inlineStr">
        <is>
          <t>Quarter 4</t>
        </is>
      </c>
      <c r="C77" s="27">
        <f>C62+C67+C72</f>
        <v/>
      </c>
      <c r="D77" s="27">
        <f>D62+D67+D72</f>
        <v/>
      </c>
      <c r="E77" s="27">
        <f>E62+E67+E72</f>
        <v/>
      </c>
      <c r="F77" s="27">
        <f>F62+F67+F72</f>
        <v/>
      </c>
      <c r="G77" s="27">
        <f>G62+G67+G72</f>
        <v/>
      </c>
      <c r="H77" s="27">
        <f>H62+H67+H72</f>
        <v/>
      </c>
      <c r="I77" s="27">
        <f>I62+I67+I72</f>
        <v/>
      </c>
      <c r="J77" s="27">
        <f>J62+J67+J72</f>
        <v/>
      </c>
      <c r="K77" s="27">
        <f>K62+K67+K72</f>
        <v/>
      </c>
      <c r="L77" s="27">
        <f>L62+L67+L72</f>
        <v/>
      </c>
      <c r="M77" s="27">
        <f>M62+M67+M72</f>
        <v/>
      </c>
      <c r="N77" s="27">
        <f>N62+N67+N72</f>
        <v/>
      </c>
    </row>
    <row r="78" ht="15" customHeight="1" s="17">
      <c r="A78" s="26" t="inlineStr">
        <is>
          <t xml:space="preserve">Total Payroll </t>
        </is>
      </c>
      <c r="B78" s="26" t="inlineStr">
        <is>
          <t>Quarter 4</t>
        </is>
      </c>
      <c r="C78" s="27">
        <f>C63+C68+C73</f>
        <v/>
      </c>
      <c r="D78" s="27">
        <f>D63+D68+D73</f>
        <v/>
      </c>
      <c r="E78" s="27">
        <f>E63+E68+E73</f>
        <v/>
      </c>
      <c r="F78" s="27">
        <f>F63+F68+F73</f>
        <v/>
      </c>
      <c r="G78" s="27">
        <f>G63+G68+G73</f>
        <v/>
      </c>
      <c r="H78" s="27">
        <f>H63+H68+H73</f>
        <v/>
      </c>
      <c r="I78" s="27">
        <f>I63+I68+I73</f>
        <v/>
      </c>
      <c r="J78" s="27">
        <f>J63+J68+J73</f>
        <v/>
      </c>
      <c r="K78" s="27">
        <f>K63+K68+K73</f>
        <v/>
      </c>
      <c r="L78" s="27">
        <f>L63+L68+L73</f>
        <v/>
      </c>
      <c r="M78" s="27">
        <f>M63+M68+M73</f>
        <v/>
      </c>
      <c r="N78" s="27">
        <f>N63+N68+N73</f>
        <v/>
      </c>
    </row>
    <row r="79" ht="15" customHeight="1" s="17">
      <c r="A79" s="26" t="inlineStr">
        <is>
          <t>Total Other Exp</t>
        </is>
      </c>
      <c r="B79" s="26" t="inlineStr">
        <is>
          <t>Quarter 4</t>
        </is>
      </c>
      <c r="C79" s="27">
        <f>C64+C69+C74</f>
        <v/>
      </c>
      <c r="D79" s="27">
        <f>D64+D69+D74</f>
        <v/>
      </c>
      <c r="E79" s="27">
        <f>E64+E69+E74</f>
        <v/>
      </c>
      <c r="F79" s="27">
        <f>F64+F69+F74</f>
        <v/>
      </c>
      <c r="G79" s="27">
        <f>G64+G69+G74</f>
        <v/>
      </c>
      <c r="H79" s="27">
        <f>H64+H69+H74</f>
        <v/>
      </c>
      <c r="I79" s="27">
        <f>I64+I69+I74</f>
        <v/>
      </c>
      <c r="J79" s="27">
        <f>J64+J69+J74</f>
        <v/>
      </c>
      <c r="K79" s="27">
        <f>K64+K69+K74</f>
        <v/>
      </c>
      <c r="L79" s="27">
        <f>L64+L69+L74</f>
        <v/>
      </c>
      <c r="M79" s="27">
        <f>M64+M69+M74</f>
        <v/>
      </c>
      <c r="N79" s="27">
        <f>N64+N69+N74</f>
        <v/>
      </c>
    </row>
    <row r="80" ht="15" customHeight="1" s="17">
      <c r="A80" s="26" t="inlineStr">
        <is>
          <t xml:space="preserve">Total Op Profits </t>
        </is>
      </c>
      <c r="B80" s="26" t="inlineStr">
        <is>
          <t>Quarter 4</t>
        </is>
      </c>
      <c r="C80" s="27">
        <f>C65+C70+C75</f>
        <v/>
      </c>
      <c r="D80" s="27">
        <f>D65+D70+D75</f>
        <v/>
      </c>
      <c r="E80" s="27">
        <f>E65+E70+E75</f>
        <v/>
      </c>
      <c r="F80" s="27">
        <f>F65+F70+F75</f>
        <v/>
      </c>
      <c r="G80" s="27">
        <f>G65+G70+G75</f>
        <v/>
      </c>
      <c r="H80" s="27">
        <f>H65+H70+H75</f>
        <v/>
      </c>
      <c r="I80" s="27">
        <f>I65+I70+I75</f>
        <v/>
      </c>
      <c r="J80" s="27">
        <f>J65+J70+J75</f>
        <v/>
      </c>
      <c r="K80" s="27">
        <f>K65+K70+K75</f>
        <v/>
      </c>
      <c r="L80" s="27">
        <f>L65+L70+L75</f>
        <v/>
      </c>
      <c r="M80" s="27">
        <f>M65+M70+M75</f>
        <v/>
      </c>
      <c r="N80" s="27">
        <f>N65+N70+N75</f>
        <v/>
      </c>
    </row>
    <row r="81" ht="15" customHeight="1" s="17">
      <c r="A81" s="28" t="inlineStr">
        <is>
          <t xml:space="preserve">Total Profit </t>
        </is>
      </c>
      <c r="B81" s="28" t="inlineStr">
        <is>
          <t>Quarter 4</t>
        </is>
      </c>
      <c r="C81" s="29">
        <f>C66+C71+C76</f>
        <v/>
      </c>
      <c r="D81" s="29">
        <f>D66+D71+D76</f>
        <v/>
      </c>
      <c r="E81" s="29">
        <f>E66+E71+E76</f>
        <v/>
      </c>
      <c r="F81" s="29">
        <f>F66+F71+F76</f>
        <v/>
      </c>
      <c r="G81" s="29">
        <f>G66+G71+G76</f>
        <v/>
      </c>
      <c r="H81" s="29">
        <f>H66+H71+H76</f>
        <v/>
      </c>
      <c r="I81" s="29">
        <f>I66+I71+I76</f>
        <v/>
      </c>
      <c r="J81" s="29">
        <f>J66+J71+J76</f>
        <v/>
      </c>
      <c r="K81" s="29">
        <f>K66+K71+K76</f>
        <v/>
      </c>
      <c r="L81" s="29">
        <f>L66+L71+L76</f>
        <v/>
      </c>
      <c r="M81" s="29">
        <f>M66+M71+M76</f>
        <v/>
      </c>
      <c r="N81" s="29">
        <f>N66+N71+N76</f>
        <v/>
      </c>
    </row>
    <row r="82" ht="15" customHeight="1" s="17">
      <c r="A82" s="30" t="inlineStr">
        <is>
          <t>Total Year To Date</t>
        </is>
      </c>
      <c r="B82" s="30" t="inlineStr">
        <is>
          <t xml:space="preserve">Year </t>
        </is>
      </c>
      <c r="C82" s="31">
        <f>C17+C37+C57+C77</f>
        <v/>
      </c>
      <c r="D82" s="31">
        <f>D17+D37+D57+D77</f>
        <v/>
      </c>
      <c r="E82" s="31">
        <f>E17+E37+E57+E77</f>
        <v/>
      </c>
      <c r="F82" s="31">
        <f>F17+F37+F57+F77</f>
        <v/>
      </c>
      <c r="G82" s="31">
        <f>G17+G37+G57+G77</f>
        <v/>
      </c>
      <c r="H82" s="31">
        <f>H17+H37+H57+H77</f>
        <v/>
      </c>
      <c r="I82" s="31">
        <f>I17+I37+I57+I77</f>
        <v/>
      </c>
      <c r="J82" s="31">
        <f>J17+J37+J57+J77</f>
        <v/>
      </c>
      <c r="K82" s="31">
        <f>K17+K37+K57+K77</f>
        <v/>
      </c>
      <c r="L82" s="31">
        <f>L17+L37+L57+L77</f>
        <v/>
      </c>
      <c r="M82" s="31">
        <f>M17+M37+M57+M77</f>
        <v/>
      </c>
      <c r="N82" s="31">
        <f>N17+N37+N57+N77</f>
        <v/>
      </c>
    </row>
    <row r="83" ht="15" customHeight="1" s="17">
      <c r="A83" s="30" t="inlineStr">
        <is>
          <t xml:space="preserve">Total Payroll </t>
        </is>
      </c>
      <c r="B83" s="30" t="inlineStr">
        <is>
          <t xml:space="preserve">Year </t>
        </is>
      </c>
      <c r="C83" s="31">
        <f>C18+C38+C58+C78</f>
        <v/>
      </c>
      <c r="D83" s="31">
        <f>D18+D38+D58+D78</f>
        <v/>
      </c>
      <c r="E83" s="31">
        <f>E18+E38+E58+E78</f>
        <v/>
      </c>
      <c r="F83" s="31">
        <f>F18+F38+F58+F78</f>
        <v/>
      </c>
      <c r="G83" s="31">
        <f>G18+G38+G58+G78</f>
        <v/>
      </c>
      <c r="H83" s="31">
        <f>H18+H38+H58+H78</f>
        <v/>
      </c>
      <c r="I83" s="31">
        <f>I18+I38+I58+I78</f>
        <v/>
      </c>
      <c r="J83" s="31">
        <f>J18+J38+J58+J78</f>
        <v/>
      </c>
      <c r="K83" s="31">
        <f>K18+K38+K58+K78</f>
        <v/>
      </c>
      <c r="L83" s="31">
        <f>L18+L38+L58+L78</f>
        <v/>
      </c>
      <c r="M83" s="31">
        <f>M18+M38+M58+M78</f>
        <v/>
      </c>
      <c r="N83" s="31">
        <f>N18+N38+N58+N78</f>
        <v/>
      </c>
    </row>
    <row r="84" ht="15" customHeight="1" s="17">
      <c r="A84" s="30" t="inlineStr">
        <is>
          <t>Total Other Exp</t>
        </is>
      </c>
      <c r="B84" s="30" t="inlineStr">
        <is>
          <t xml:space="preserve">Year </t>
        </is>
      </c>
      <c r="C84" s="31">
        <f>C19+C39+C59+C79</f>
        <v/>
      </c>
      <c r="D84" s="31">
        <f>D19+D39+D59+D79</f>
        <v/>
      </c>
      <c r="E84" s="31">
        <f>E19+E39+E59+E79</f>
        <v/>
      </c>
      <c r="F84" s="31">
        <f>F19+F39+F59+F79</f>
        <v/>
      </c>
      <c r="G84" s="31">
        <f>G19+G39+G59+G79</f>
        <v/>
      </c>
      <c r="H84" s="31">
        <f>H19+H39+H59+H79</f>
        <v/>
      </c>
      <c r="I84" s="31">
        <f>I19+I39+I59+I79</f>
        <v/>
      </c>
      <c r="J84" s="31">
        <f>J19+J39+J59+J79</f>
        <v/>
      </c>
      <c r="K84" s="31">
        <f>K19+K39+K59+K79</f>
        <v/>
      </c>
      <c r="L84" s="31">
        <f>L19+L39+L59+L79</f>
        <v/>
      </c>
      <c r="M84" s="31">
        <f>M19+M39+M59+M79</f>
        <v/>
      </c>
      <c r="N84" s="31">
        <f>N19+N39+N59+N79</f>
        <v/>
      </c>
    </row>
    <row r="85" ht="15" customHeight="1" s="17">
      <c r="A85" s="30" t="inlineStr">
        <is>
          <t xml:space="preserve">Total Op Profits </t>
        </is>
      </c>
      <c r="B85" s="30" t="inlineStr">
        <is>
          <t xml:space="preserve">Year </t>
        </is>
      </c>
      <c r="C85" s="31">
        <f>C20+C40+C60+C80</f>
        <v/>
      </c>
      <c r="D85" s="31">
        <f>D20+D40+D60+D80</f>
        <v/>
      </c>
      <c r="E85" s="31">
        <f>E20+E40+E60+E80</f>
        <v/>
      </c>
      <c r="F85" s="31">
        <f>F20+F40+F60+F80</f>
        <v/>
      </c>
      <c r="G85" s="31">
        <f>G20+G40+G60+G80</f>
        <v/>
      </c>
      <c r="H85" s="31">
        <f>H20+H40+H60+H80</f>
        <v/>
      </c>
      <c r="I85" s="31">
        <f>I20+I40+I60+I80</f>
        <v/>
      </c>
      <c r="J85" s="31">
        <f>J20+J40+J60+J80</f>
        <v/>
      </c>
      <c r="K85" s="31">
        <f>K20+K40+K60+K80</f>
        <v/>
      </c>
      <c r="L85" s="31">
        <f>L20+L40+L60+L80</f>
        <v/>
      </c>
      <c r="M85" s="31">
        <f>M20+M40+M60+M80</f>
        <v/>
      </c>
      <c r="N85" s="31">
        <f>N20+N40+N60+N80</f>
        <v/>
      </c>
    </row>
    <row r="86" ht="15" customHeight="1" s="17">
      <c r="A86" s="32" t="inlineStr">
        <is>
          <t xml:space="preserve">Total Profit </t>
        </is>
      </c>
      <c r="B86" s="32" t="inlineStr">
        <is>
          <t xml:space="preserve">Year </t>
        </is>
      </c>
      <c r="C86" s="33">
        <f>C21+C41+C61+C81</f>
        <v/>
      </c>
      <c r="D86" s="33">
        <f>D21+D41+D61+D81</f>
        <v/>
      </c>
      <c r="E86" s="33">
        <f>E21+E41+E61+E81</f>
        <v/>
      </c>
      <c r="F86" s="33">
        <f>F21+F41+F61+F81</f>
        <v/>
      </c>
      <c r="G86" s="33">
        <f>G21+G41+G61+G81</f>
        <v/>
      </c>
      <c r="H86" s="33">
        <f>H21+H41+H61+H81</f>
        <v/>
      </c>
      <c r="I86" s="33">
        <f>I21+I41+I61+I81</f>
        <v/>
      </c>
      <c r="J86" s="33">
        <f>J21+J41+J61+J81</f>
        <v/>
      </c>
      <c r="K86" s="33">
        <f>K21+K41+K61+K81</f>
        <v/>
      </c>
      <c r="L86" s="33">
        <f>L21+L41+L61+L81</f>
        <v/>
      </c>
      <c r="M86" s="33">
        <f>M21+M41+M61+M81</f>
        <v/>
      </c>
      <c r="N86" s="33">
        <f>N21+N41+N61+N81</f>
        <v/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Matthew Mohebbi</dc:creator>
  <dc:language>en-US</dc:language>
  <dcterms:created xsi:type="dcterms:W3CDTF">2026-02-22T20:14:15Z</dcterms:created>
  <dcterms:modified xsi:type="dcterms:W3CDTF">2026-03-03T22:34:05Z</dcterms:modified>
  <cp:lastModifiedBy>Matthew Mohebbi</cp:lastModifiedBy>
  <cp:revision>0</cp:revision>
</cp:coreProperties>
</file>